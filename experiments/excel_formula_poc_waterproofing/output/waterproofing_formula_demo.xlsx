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</font>
    <font>
      <sz val="9"/>
    </font>
  </fonts>
  <fills count="6">
    <fill>
      <patternFill/>
    </fill>
    <fill>
      <patternFill patternType="gray125"/>
    </fill>
    <fill>
      <patternFill patternType="solid">
        <fgColor rgb="00B7B7B7"/>
      </patternFill>
    </fill>
    <fill>
      <patternFill patternType="solid">
        <fgColor rgb="00FFFFFF"/>
      </patternFill>
    </fill>
    <fill>
      <patternFill patternType="solid">
        <fgColor rgb="00EFEFEF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303030"/>
      </left>
      <right style="thin">
        <color rgb="00303030"/>
      </right>
      <top style="thin">
        <color rgb="00303030"/>
      </top>
      <bottom style="thin">
        <color rgb="00303030"/>
      </bottom>
    </border>
    <border>
      <left style="thick">
        <color rgb="001D4ED8"/>
      </left>
      <right style="thin">
        <color rgb="00303030"/>
      </right>
      <top style="thin">
        <color rgb="00303030"/>
      </top>
      <bottom style="thin">
        <color rgb="00303030"/>
      </bottom>
    </border>
    <border>
      <left style="thin">
        <color rgb="00303030"/>
      </left>
      <right/>
      <top/>
      <bottom/>
      <diagonal/>
    </border>
    <border>
      <left style="thin">
        <color rgb="00303030"/>
      </left>
      <right style="thin">
        <color rgb="00303030"/>
      </right>
      <top/>
      <bottom/>
      <diagonal/>
    </border>
    <border>
      <left style="thin">
        <color rgb="00303030"/>
      </left>
      <right style="thin">
        <color rgb="00303030"/>
      </right>
      <top/>
      <bottom style="thin">
        <color rgb="0030303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4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textRotation="90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2" fontId="0" fillId="3" borderId="1" applyAlignment="1" pivotButton="0" quotePrefix="0" xfId="0">
      <alignment horizontal="center" vertical="top"/>
    </xf>
    <xf numFmtId="1" fontId="0" fillId="3" borderId="1" applyAlignment="1" pivotButton="0" quotePrefix="0" xfId="0">
      <alignment vertical="top"/>
    </xf>
    <xf numFmtId="2" fontId="0" fillId="2" borderId="2" applyAlignment="1" pivotButton="0" quotePrefix="0" xfId="0">
      <alignment horizontal="center" vertical="top"/>
    </xf>
    <xf numFmtId="1" fontId="0" fillId="2" borderId="1" applyAlignment="1" pivotButton="0" quotePrefix="0" xfId="0">
      <alignment vertical="top"/>
    </xf>
    <xf numFmtId="2" fontId="4" fillId="2" borderId="1" applyAlignment="1" pivotButton="0" quotePrefix="0" xfId="0">
      <alignment horizontal="center" vertical="center"/>
    </xf>
    <xf numFmtId="0" fontId="0" fillId="3" borderId="1" pivotButton="0" quotePrefix="0" xfId="0"/>
    <xf numFmtId="164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1" fontId="3" fillId="5" borderId="1" pivotButton="0" quotePrefix="0" xfId="0"/>
    <xf numFmtId="1" fontId="3" fillId="2" borderId="2" pivotButton="0" quotePrefix="0" xfId="0"/>
    <xf numFmtId="1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285750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4" ySplit="11" topLeftCell="E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8" customWidth="1" min="2" max="2"/>
    <col width="10" customWidth="1" min="3" max="3"/>
    <col width="12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2" customWidth="1" min="10" max="10"/>
    <col width="16" customWidth="1" min="11" max="11"/>
    <col width="16" customWidth="1" min="12" max="12"/>
    <col width="14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J1" s="1" t="n"/>
      <c r="K1" s="1" t="n"/>
      <c r="L1" s="1" t="n"/>
      <c r="M1" s="1" t="n"/>
      <c r="N1" s="1" t="n"/>
      <c r="O1" s="1" t="n"/>
      <c r="P1" s="2" t="n"/>
      <c r="Q1" s="2" t="n"/>
      <c r="R1" s="2" t="n"/>
      <c r="S1" s="2" t="n"/>
      <c r="T1" s="2" t="n"/>
      <c r="U1" s="2" t="n"/>
      <c r="V1" s="2" t="n"/>
    </row>
    <row r="2">
      <c r="J2" s="1" t="n"/>
      <c r="K2" s="1" t="n"/>
      <c r="L2" s="1" t="n"/>
      <c r="M2" s="1" t="n"/>
      <c r="N2" s="1" t="n"/>
      <c r="O2" s="1" t="n"/>
      <c r="P2" s="2" t="n"/>
      <c r="Q2" s="2" t="n"/>
      <c r="R2" s="2" t="n"/>
      <c r="S2" s="2" t="n"/>
      <c r="T2" s="2" t="n"/>
      <c r="U2" s="2" t="n"/>
      <c r="V2" s="2" t="n"/>
    </row>
    <row r="3">
      <c r="J3" s="1" t="n"/>
      <c r="K3" s="1" t="n"/>
      <c r="L3" s="1" t="n"/>
      <c r="M3" s="1" t="n"/>
      <c r="N3" s="1" t="n"/>
      <c r="O3" s="1" t="n"/>
      <c r="P3" s="2" t="n"/>
      <c r="Q3" s="2" t="n"/>
      <c r="R3" s="2" t="n"/>
      <c r="S3" s="2" t="n"/>
      <c r="T3" s="2" t="n"/>
      <c r="U3" s="2" t="n"/>
      <c r="V3" s="2" t="n"/>
    </row>
    <row r="4">
      <c r="J4" s="1" t="n"/>
      <c r="K4" s="1" t="n"/>
      <c r="L4" s="1" t="n"/>
      <c r="M4" s="1" t="n"/>
      <c r="N4" s="1" t="n"/>
      <c r="O4" s="1" t="n"/>
      <c r="P4" s="2" t="n"/>
      <c r="Q4" s="2" t="n"/>
      <c r="R4" s="2" t="n"/>
      <c r="S4" s="2" t="n"/>
      <c r="T4" s="2" t="n"/>
      <c r="U4" s="2" t="n"/>
      <c r="V4" s="2" t="n"/>
    </row>
    <row r="5">
      <c r="A5" s="3" t="inlineStr">
        <is>
          <t>СМЕТНЫЙ РАСЧЕТ НА СТРОИТЕЛЬСТВО ДОМА</t>
        </is>
      </c>
      <c r="J5" s="1" t="n"/>
      <c r="K5" s="1" t="n"/>
      <c r="L5" s="1" t="n"/>
      <c r="M5" s="1" t="n"/>
      <c r="N5" s="1" t="n"/>
      <c r="O5" s="1" t="n"/>
      <c r="P5" s="2" t="n"/>
      <c r="Q5" s="2" t="n"/>
      <c r="R5" s="2" t="n"/>
      <c r="S5" s="2" t="n"/>
      <c r="T5" s="2" t="n"/>
      <c r="U5" s="2" t="n"/>
      <c r="V5" s="2" t="n"/>
    </row>
    <row r="6" ht="24" customHeight="1">
      <c r="A6" s="4" t="inlineStr">
        <is>
          <t>Российская федерация, Московская область, г. о. Домодедово, п. Государственного племенного завода "Константиново", тер. КП "Юсупово Виладж", участок с кад. номером 50:28:0050421:2962</t>
        </is>
      </c>
      <c r="J6" s="1" t="n"/>
      <c r="K6" s="1" t="n"/>
      <c r="L6" s="1" t="n"/>
      <c r="M6" s="1" t="n"/>
      <c r="N6" s="1" t="n"/>
      <c r="O6" s="1" t="n"/>
      <c r="P6" s="2" t="n"/>
      <c r="Q6" s="2" t="n"/>
      <c r="R6" s="2" t="n"/>
      <c r="S6" s="2" t="n"/>
      <c r="T6" s="2" t="n"/>
      <c r="U6" s="2" t="n"/>
      <c r="V6" s="2" t="n"/>
    </row>
    <row r="7">
      <c r="J7" s="1" t="n"/>
      <c r="K7" s="1" t="n"/>
      <c r="L7" s="1" t="n"/>
      <c r="M7" s="1" t="n"/>
      <c r="N7" s="1" t="n"/>
      <c r="O7" s="1" t="n"/>
      <c r="P7" s="2" t="n"/>
      <c r="Q7" s="2" t="n"/>
      <c r="R7" s="2" t="n"/>
      <c r="S7" s="2" t="n"/>
      <c r="T7" s="2" t="n"/>
      <c r="U7" s="2" t="n"/>
      <c r="V7" s="2" t="n"/>
    </row>
    <row r="8">
      <c r="J8" s="1" t="n"/>
      <c r="K8" s="1" t="n"/>
      <c r="L8" s="1" t="n"/>
      <c r="M8" s="1" t="n"/>
      <c r="N8" s="1" t="n"/>
      <c r="O8" s="1" t="n"/>
      <c r="P8" s="2" t="n"/>
      <c r="Q8" s="2" t="n"/>
      <c r="R8" s="2" t="n"/>
      <c r="S8" s="2" t="n"/>
      <c r="T8" s="2" t="n"/>
      <c r="U8" s="2" t="n"/>
      <c r="V8" s="2" t="n"/>
    </row>
    <row r="9" ht="46" customHeight="1">
      <c r="A9" s="5" t="inlineStr">
        <is>
          <t>№</t>
        </is>
      </c>
      <c r="B9" s="5" t="inlineStr">
        <is>
          <t>Наименование работ</t>
        </is>
      </c>
      <c r="C9" s="5" t="inlineStr">
        <is>
          <t>Ед. изм.</t>
        </is>
      </c>
      <c r="D9" s="5" t="inlineStr">
        <is>
          <t>Кол-во</t>
        </is>
      </c>
      <c r="E9" s="5" t="inlineStr">
        <is>
          <t>Стоимость материалов,
машин и механизмов, руб.</t>
        </is>
      </c>
      <c r="F9" s="5" t="n"/>
      <c r="G9" s="5" t="inlineStr">
        <is>
          <t>Стоимость работ, руб.</t>
        </is>
      </c>
      <c r="H9" s="5" t="n"/>
      <c r="I9" s="5" t="inlineStr">
        <is>
          <t>Итого, руб.</t>
        </is>
      </c>
      <c r="J9" s="6" t="inlineStr">
        <is>
          <t>Кол-во</t>
        </is>
      </c>
      <c r="K9" s="7" t="inlineStr">
        <is>
          <t>Стоимость материалов,
машин и механизмов, руб.</t>
        </is>
      </c>
      <c r="L9" s="7" t="n"/>
      <c r="M9" s="7" t="inlineStr">
        <is>
          <t>Стоимость работ, руб.</t>
        </is>
      </c>
      <c r="N9" s="7" t="n"/>
      <c r="O9" s="7" t="inlineStr">
        <is>
          <t>Итого, руб.</t>
        </is>
      </c>
      <c r="P9" s="2" t="n"/>
      <c r="Q9" s="2" t="n"/>
      <c r="R9" s="2" t="n"/>
      <c r="S9" s="2" t="n"/>
      <c r="T9" s="2" t="n"/>
      <c r="U9" s="2" t="n"/>
      <c r="V9" s="2" t="n"/>
    </row>
    <row r="10" ht="22" customHeight="1">
      <c r="A10" s="5" t="n"/>
      <c r="B10" s="5" t="n"/>
      <c r="C10" s="5" t="n"/>
      <c r="D10" s="5" t="n"/>
      <c r="E10" s="5" t="inlineStr">
        <is>
          <t>За ед</t>
        </is>
      </c>
      <c r="F10" s="5" t="inlineStr">
        <is>
          <t>Итого</t>
        </is>
      </c>
      <c r="G10" s="5" t="inlineStr">
        <is>
          <t>За ед</t>
        </is>
      </c>
      <c r="H10" s="5" t="inlineStr">
        <is>
          <t>Итого</t>
        </is>
      </c>
      <c r="I10" s="5" t="n"/>
      <c r="J10" s="6" t="n"/>
      <c r="K10" s="7" t="inlineStr">
        <is>
          <t>За ед</t>
        </is>
      </c>
      <c r="L10" s="7" t="inlineStr">
        <is>
          <t>Итого</t>
        </is>
      </c>
      <c r="M10" s="7" t="inlineStr">
        <is>
          <t>За ед</t>
        </is>
      </c>
      <c r="N10" s="7" t="inlineStr">
        <is>
          <t>Итого</t>
        </is>
      </c>
      <c r="O10" s="7" t="n"/>
      <c r="P10" s="2" t="n"/>
      <c r="Q10" s="2" t="n"/>
      <c r="R10" s="2" t="n"/>
      <c r="S10" s="2" t="n"/>
      <c r="T10" s="2" t="n"/>
      <c r="U10" s="2" t="n"/>
      <c r="V10" s="2" t="n"/>
    </row>
    <row r="11">
      <c r="A11" s="8" t="n">
        <v>4</v>
      </c>
      <c r="B11" s="9" t="inlineStr">
        <is>
          <t>ГИДРОИЗОЛЯЦИЯ, УТЕПЛЕНИЕ БОРТОВ ПЛИТ</t>
        </is>
      </c>
      <c r="C11" s="8" t="n"/>
      <c r="D11" s="8" t="n"/>
      <c r="E11" s="8" t="n"/>
      <c r="F11" s="8" t="n"/>
      <c r="G11" s="8" t="n"/>
      <c r="H11" s="8" t="n"/>
      <c r="I11" s="8" t="n"/>
      <c r="J11" s="6" t="n"/>
      <c r="K11" s="7" t="n"/>
      <c r="L11" s="7" t="n"/>
      <c r="M11" s="7" t="n"/>
      <c r="N11" s="7" t="n"/>
      <c r="O11" s="7" t="n"/>
      <c r="P11" s="2" t="n"/>
      <c r="Q11" s="2" t="n"/>
      <c r="R11" s="2" t="n"/>
      <c r="S11" s="2" t="n"/>
      <c r="T11" s="2" t="n"/>
      <c r="U11" s="2" t="n"/>
      <c r="V11" s="2" t="n"/>
    </row>
    <row r="12">
      <c r="A12" s="10" t="inlineStr">
        <is>
          <t>ГИДРОИЗОЛЯЦИЯ, УТЕПЛЕНИЕ БОРТОВ ПЛИТ</t>
        </is>
      </c>
      <c r="B12" s="11" t="inlineStr">
        <is>
          <t>Гидроизоляция фундаментной плиты битумной мастикой в 2 слоя</t>
        </is>
      </c>
      <c r="C12" s="12" t="inlineStr">
        <is>
          <t>м2</t>
        </is>
      </c>
      <c r="D12" s="13">
        <f>J12</f>
        <v/>
      </c>
      <c r="E12" s="14">
        <f>K12</f>
        <v/>
      </c>
      <c r="F12" s="14">
        <f>L12</f>
        <v/>
      </c>
      <c r="G12" s="14">
        <f>M12</f>
        <v/>
      </c>
      <c r="H12" s="14">
        <f>N12</f>
        <v/>
      </c>
      <c r="I12" s="14">
        <f>O12</f>
        <v/>
      </c>
      <c r="J12" s="15">
        <f>R12</f>
        <v/>
      </c>
      <c r="K12" s="16" t="n">
        <v>0</v>
      </c>
      <c r="L12" s="16">
        <f>J12*K12</f>
        <v/>
      </c>
      <c r="M12" s="16" t="n">
        <v>350</v>
      </c>
      <c r="N12" s="16">
        <f>J12*M12</f>
        <v/>
      </c>
      <c r="O12" s="16">
        <f>L12+N12</f>
        <v/>
      </c>
      <c r="P12" s="17" t="n">
        <v>81</v>
      </c>
      <c r="Q12" s="17" t="n">
        <v>0.3</v>
      </c>
      <c r="R12" s="17">
        <f>P12*Q12</f>
        <v/>
      </c>
      <c r="S12" s="2" t="n"/>
      <c r="T12" s="2" t="n"/>
      <c r="U12" s="2" t="n"/>
      <c r="V12" s="2" t="n"/>
    </row>
    <row r="13">
      <c r="A13" s="18" t="n"/>
      <c r="B13" s="11" t="inlineStr">
        <is>
          <t>Праймер битумный AquaMast, 18 л</t>
        </is>
      </c>
      <c r="C13" s="12" t="inlineStr">
        <is>
          <t>шт</t>
        </is>
      </c>
      <c r="D13" s="13">
        <f>J13</f>
        <v/>
      </c>
      <c r="E13" s="14">
        <f>K13</f>
        <v/>
      </c>
      <c r="F13" s="14">
        <f>L13</f>
        <v/>
      </c>
      <c r="G13" s="14">
        <f>M13</f>
        <v/>
      </c>
      <c r="H13" s="14">
        <f>N13</f>
        <v/>
      </c>
      <c r="I13" s="14">
        <f>O13</f>
        <v/>
      </c>
      <c r="J13" s="15">
        <f>ROUNDUP(S13,0)</f>
        <v/>
      </c>
      <c r="K13" s="16" t="n">
        <v>2770</v>
      </c>
      <c r="L13" s="16">
        <f>J13*K13</f>
        <v/>
      </c>
      <c r="M13" s="16" t="n">
        <v>0</v>
      </c>
      <c r="N13" s="16">
        <f>J13*M13</f>
        <v/>
      </c>
      <c r="O13" s="16">
        <f>L13+N13</f>
        <v/>
      </c>
      <c r="P13" s="17">
        <f>J12</f>
        <v/>
      </c>
      <c r="Q13" s="17" t="n">
        <v>0.3</v>
      </c>
      <c r="R13" s="19" t="n">
        <v>18</v>
      </c>
      <c r="S13" s="19">
        <f>P13*Q13/R13</f>
        <v/>
      </c>
      <c r="T13" s="2" t="n"/>
      <c r="U13" s="2" t="n"/>
      <c r="V13" s="2" t="n"/>
    </row>
    <row r="14">
      <c r="A14" s="18" t="n"/>
      <c r="B14" s="11" t="inlineStr">
        <is>
          <t>Мастика гидроизоляционная битумная для фундаментов AquaMast, 18 кг</t>
        </is>
      </c>
      <c r="C14" s="12" t="inlineStr">
        <is>
          <t>шт</t>
        </is>
      </c>
      <c r="D14" s="13">
        <f>J14</f>
        <v/>
      </c>
      <c r="E14" s="14">
        <f>K14</f>
        <v/>
      </c>
      <c r="F14" s="14">
        <f>L14</f>
        <v/>
      </c>
      <c r="G14" s="14">
        <f>M14</f>
        <v/>
      </c>
      <c r="H14" s="14">
        <f>N14</f>
        <v/>
      </c>
      <c r="I14" s="14">
        <f>O14</f>
        <v/>
      </c>
      <c r="J14" s="15">
        <f>ROUNDUP(T14,0)</f>
        <v/>
      </c>
      <c r="K14" s="16" t="n">
        <v>2780</v>
      </c>
      <c r="L14" s="16">
        <f>J14*K14</f>
        <v/>
      </c>
      <c r="M14" s="16" t="n">
        <v>0</v>
      </c>
      <c r="N14" s="16">
        <f>J14*M14</f>
        <v/>
      </c>
      <c r="O14" s="16">
        <f>L14+N14</f>
        <v/>
      </c>
      <c r="P14" s="17">
        <f>J12</f>
        <v/>
      </c>
      <c r="Q14" s="17" t="n">
        <v>1</v>
      </c>
      <c r="R14" s="19" t="n">
        <v>2</v>
      </c>
      <c r="S14" s="19" t="n">
        <v>18</v>
      </c>
      <c r="T14" s="19">
        <f>P14*Q14*R14/S14</f>
        <v/>
      </c>
      <c r="U14" s="2" t="n"/>
      <c r="V14" s="2" t="n"/>
    </row>
    <row r="15">
      <c r="A15" s="18" t="n"/>
      <c r="B15" s="11" t="inlineStr">
        <is>
          <t>Утепление стен плиты ЭППС 100 мм</t>
        </is>
      </c>
      <c r="C15" s="12" t="inlineStr">
        <is>
          <t>м2</t>
        </is>
      </c>
      <c r="D15" s="13">
        <f>J15</f>
        <v/>
      </c>
      <c r="E15" s="14">
        <f>K15</f>
        <v/>
      </c>
      <c r="F15" s="14">
        <f>L15</f>
        <v/>
      </c>
      <c r="G15" s="14">
        <f>M15</f>
        <v/>
      </c>
      <c r="H15" s="14">
        <f>N15</f>
        <v/>
      </c>
      <c r="I15" s="14">
        <f>O15</f>
        <v/>
      </c>
      <c r="J15" s="15">
        <f>T15</f>
        <v/>
      </c>
      <c r="K15" s="16" t="n">
        <v>0</v>
      </c>
      <c r="L15" s="16">
        <f>J15*K15</f>
        <v/>
      </c>
      <c r="M15" s="16" t="n">
        <v>500</v>
      </c>
      <c r="N15" s="16">
        <f>J15*M15</f>
        <v/>
      </c>
      <c r="O15" s="16">
        <f>L15+N15</f>
        <v/>
      </c>
      <c r="P15" s="17" t="n">
        <v>15.5</v>
      </c>
      <c r="Q15" s="17">
        <f>(P12-P15)*Q12</f>
        <v/>
      </c>
      <c r="R15" s="17" t="n">
        <v>1.75</v>
      </c>
      <c r="S15" s="17" t="n">
        <v>0.1</v>
      </c>
      <c r="T15" s="17">
        <f>R15/S15</f>
        <v/>
      </c>
      <c r="U15" s="2" t="n"/>
      <c r="V15" s="2" t="n"/>
    </row>
    <row r="16">
      <c r="A16" s="18" t="n"/>
      <c r="B16" s="11" t="inlineStr">
        <is>
          <t>Пеноплэкс ГЕО 100 мм</t>
        </is>
      </c>
      <c r="C16" s="12" t="inlineStr">
        <is>
          <t>м3</t>
        </is>
      </c>
      <c r="D16" s="13">
        <f>J16</f>
        <v/>
      </c>
      <c r="E16" s="14">
        <f>K16</f>
        <v/>
      </c>
      <c r="F16" s="14">
        <f>L16</f>
        <v/>
      </c>
      <c r="G16" s="14">
        <f>M16</f>
        <v/>
      </c>
      <c r="H16" s="14">
        <f>N16</f>
        <v/>
      </c>
      <c r="I16" s="14">
        <f>O16</f>
        <v/>
      </c>
      <c r="J16" s="15">
        <f>ROUNDUP(R16,0)*P16</f>
        <v/>
      </c>
      <c r="K16" s="16" t="n">
        <v>10000</v>
      </c>
      <c r="L16" s="16">
        <f>J16*K16</f>
        <v/>
      </c>
      <c r="M16" s="16" t="n">
        <v>0</v>
      </c>
      <c r="N16" s="16">
        <f>J16*M16</f>
        <v/>
      </c>
      <c r="O16" s="16">
        <f>L16+N16</f>
        <v/>
      </c>
      <c r="P16" s="20" t="n">
        <v>0.2776</v>
      </c>
      <c r="Q16" s="20">
        <f>J15*0.1*1.05</f>
        <v/>
      </c>
      <c r="R16" s="20">
        <f>Q16/P16</f>
        <v/>
      </c>
      <c r="S16" s="17">
        <f>ROUNDUP(R16,0)</f>
        <v/>
      </c>
      <c r="T16" s="2" t="n"/>
      <c r="U16" s="2" t="n"/>
      <c r="V16" s="2" t="n"/>
    </row>
    <row r="17">
      <c r="A17" s="18" t="n"/>
      <c r="B17" s="11" t="inlineStr">
        <is>
          <t>Клей-пена для ЭППС</t>
        </is>
      </c>
      <c r="C17" s="12" t="inlineStr">
        <is>
          <t>баллон</t>
        </is>
      </c>
      <c r="D17" s="13">
        <f>J17</f>
        <v/>
      </c>
      <c r="E17" s="14">
        <f>K17</f>
        <v/>
      </c>
      <c r="F17" s="14">
        <f>L17</f>
        <v/>
      </c>
      <c r="G17" s="14">
        <f>M17</f>
        <v/>
      </c>
      <c r="H17" s="14">
        <f>N17</f>
        <v/>
      </c>
      <c r="I17" s="14">
        <f>O17</f>
        <v/>
      </c>
      <c r="J17" s="15">
        <f>MAX(S17,ROUNDUP(R17,0))</f>
        <v/>
      </c>
      <c r="K17" s="16" t="n">
        <v>490</v>
      </c>
      <c r="L17" s="16">
        <f>J17*K17</f>
        <v/>
      </c>
      <c r="M17" s="16" t="n">
        <v>0</v>
      </c>
      <c r="N17" s="16">
        <f>J17*M17</f>
        <v/>
      </c>
      <c r="O17" s="16">
        <f>L17+N17</f>
        <v/>
      </c>
      <c r="P17" s="17">
        <f>J15</f>
        <v/>
      </c>
      <c r="Q17" s="17" t="n">
        <v>10</v>
      </c>
      <c r="R17" s="19">
        <f>P17/Q17</f>
        <v/>
      </c>
      <c r="S17" s="19" t="n">
        <v>1</v>
      </c>
      <c r="T17" s="2" t="n"/>
      <c r="U17" s="2" t="n"/>
      <c r="V17" s="2" t="n"/>
    </row>
    <row r="18">
      <c r="A18" s="18" t="n"/>
      <c r="B18" s="11" t="inlineStr">
        <is>
          <t>Логистика и снабжение</t>
        </is>
      </c>
      <c r="C18" s="12" t="inlineStr">
        <is>
          <t>-</t>
        </is>
      </c>
      <c r="D18" s="13">
        <f>J18</f>
        <v/>
      </c>
      <c r="E18" s="14">
        <f>K18</f>
        <v/>
      </c>
      <c r="F18" s="14">
        <f>L18</f>
        <v/>
      </c>
      <c r="G18" s="14">
        <f>M18</f>
        <v/>
      </c>
      <c r="H18" s="14">
        <f>N18</f>
        <v/>
      </c>
      <c r="I18" s="14">
        <f>O18</f>
        <v/>
      </c>
      <c r="J18" s="15" t="n">
        <v>1</v>
      </c>
      <c r="K18" s="16">
        <f>SUM(O12:O17)*0.02</f>
        <v/>
      </c>
      <c r="L18" s="16">
        <f>J18*K18</f>
        <v/>
      </c>
      <c r="M18" s="16" t="n">
        <v>0</v>
      </c>
      <c r="N18" s="16">
        <f>J18*M18</f>
        <v/>
      </c>
      <c r="O18" s="16">
        <f>L18+N18</f>
        <v/>
      </c>
      <c r="P18" s="2" t="n"/>
      <c r="Q18" s="2" t="n"/>
      <c r="R18" s="2" t="n"/>
      <c r="S18" s="2" t="n"/>
      <c r="T18" s="2" t="n"/>
      <c r="U18" s="2" t="n"/>
      <c r="V18" s="2" t="n"/>
    </row>
    <row r="19">
      <c r="A19" s="18" t="n"/>
      <c r="B19" s="11" t="inlineStr">
        <is>
          <t>Расходные материалы, амортизация инструмента</t>
        </is>
      </c>
      <c r="C19" s="12" t="inlineStr">
        <is>
          <t>комплект</t>
        </is>
      </c>
      <c r="D19" s="13">
        <f>J19</f>
        <v/>
      </c>
      <c r="E19" s="14">
        <f>K19</f>
        <v/>
      </c>
      <c r="F19" s="14">
        <f>L19</f>
        <v/>
      </c>
      <c r="G19" s="14">
        <f>M19</f>
        <v/>
      </c>
      <c r="H19" s="14">
        <f>N19</f>
        <v/>
      </c>
      <c r="I19" s="14">
        <f>O19</f>
        <v/>
      </c>
      <c r="J19" s="15" t="n">
        <v>1</v>
      </c>
      <c r="K19" s="16">
        <f>SUM(O12:O17)*0.03</f>
        <v/>
      </c>
      <c r="L19" s="16">
        <f>J19*K19</f>
        <v/>
      </c>
      <c r="M19" s="16" t="n">
        <v>0</v>
      </c>
      <c r="N19" s="16">
        <f>J19*M19</f>
        <v/>
      </c>
      <c r="O19" s="16">
        <f>L19+N19</f>
        <v/>
      </c>
      <c r="P19" s="2" t="n"/>
      <c r="Q19" s="2" t="n"/>
      <c r="R19" s="2" t="n"/>
      <c r="S19" s="2" t="n"/>
      <c r="T19" s="2" t="n"/>
      <c r="U19" s="2" t="n"/>
      <c r="V19" s="2" t="n"/>
    </row>
    <row r="20">
      <c r="A20" s="21" t="inlineStr"/>
      <c r="B20" s="21" t="inlineStr">
        <is>
          <t>Итого по разделу:</t>
        </is>
      </c>
      <c r="C20" s="21" t="inlineStr"/>
      <c r="D20" s="21" t="inlineStr"/>
      <c r="E20" s="21" t="inlineStr"/>
      <c r="F20" s="21">
        <f>L20</f>
        <v/>
      </c>
      <c r="G20" s="21" t="inlineStr"/>
      <c r="H20" s="21">
        <f>N20</f>
        <v/>
      </c>
      <c r="I20" s="21">
        <f>O20</f>
        <v/>
      </c>
      <c r="J20" s="22" t="inlineStr"/>
      <c r="K20" s="23" t="inlineStr"/>
      <c r="L20" s="23">
        <f>SUM(L12:L19)</f>
        <v/>
      </c>
      <c r="M20" s="23" t="inlineStr"/>
      <c r="N20" s="23">
        <f>SUM(N12:N19)</f>
        <v/>
      </c>
      <c r="O20" s="23">
        <f>SUM(O12:O19)</f>
        <v/>
      </c>
      <c r="P20" s="2" t="n"/>
      <c r="Q20" s="2" t="n"/>
      <c r="R20" s="2" t="n"/>
      <c r="S20" s="2" t="n"/>
      <c r="T20" s="2" t="n"/>
      <c r="U20" s="2" t="n"/>
      <c r="V20" s="2" t="n"/>
    </row>
    <row r="21">
      <c r="P21" s="2" t="n"/>
      <c r="Q21" s="2" t="n"/>
      <c r="R21" s="2" t="n"/>
      <c r="S21" s="2" t="n"/>
      <c r="T21" s="2" t="n"/>
      <c r="U21" s="2" t="n"/>
      <c r="V21" s="2" t="n"/>
    </row>
    <row r="22">
      <c r="P22" s="2" t="n"/>
      <c r="Q22" s="2" t="n"/>
      <c r="R22" s="2" t="n"/>
      <c r="S22" s="2" t="n"/>
      <c r="T22" s="2" t="n"/>
      <c r="U22" s="2" t="n"/>
      <c r="V22" s="2" t="n"/>
    </row>
    <row r="23">
      <c r="P23" s="2" t="n"/>
      <c r="Q23" s="2" t="n"/>
      <c r="R23" s="2" t="n"/>
      <c r="S23" s="2" t="n"/>
      <c r="T23" s="2" t="n"/>
      <c r="U23" s="2" t="n"/>
      <c r="V23" s="2" t="n"/>
    </row>
  </sheetData>
  <mergeCells count="15">
    <mergeCell ref="C9:C10"/>
    <mergeCell ref="B9:B10"/>
    <mergeCell ref="D9:D10"/>
    <mergeCell ref="I9:I10"/>
    <mergeCell ref="A1:I4"/>
    <mergeCell ref="A9:A10"/>
    <mergeCell ref="A5:I5"/>
    <mergeCell ref="J9:J10"/>
    <mergeCell ref="A12:A19"/>
    <mergeCell ref="O9:O10"/>
    <mergeCell ref="K9:L9"/>
    <mergeCell ref="M9:N9"/>
    <mergeCell ref="A6:I6"/>
    <mergeCell ref="G9:H9"/>
    <mergeCell ref="E9:F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2026-06-08T14:55:19Z</dcterms:created>
  <dcterms:modified xsi:type="dcterms:W3CDTF">2026-06-08T14:55:19Z</dcterms:modified>
</cp:coreProperties>
</file>